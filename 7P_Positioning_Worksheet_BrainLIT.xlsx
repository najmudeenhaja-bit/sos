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1_PROBE_VOC" sheetId="1" state="visible" r:id="rId3"/>
    <sheet name="P2_PROFILE_COMPETITORS" sheetId="2" state="visible" r:id="rId4"/>
    <sheet name="P3_PINPOINT" sheetId="3" state="visible" r:id="rId5"/>
    <sheet name="P4_POSITION" sheetId="4" state="visible" r:id="rId6"/>
    <sheet name="P5_PROMISE (USP)" sheetId="5" state="visible" r:id="rId7"/>
    <sheet name="P6_PROOF" sheetId="6" state="visible" r:id="rId8"/>
    <sheet name="P7_PILOT" sheetId="7" state="visible" r:id="rId9"/>
    <sheet name="Final Positioning " sheetId="8" state="visible" r:id="rId10"/>
    <sheet name="Sources &amp; Assumption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TARGET for a ₹5,000 / 7-day test (from BrainLIT calculator ad budget). Replace with actual Meta/Google impressions after the test.</t>
        </r>
      </text>
    </comment>
    <comment ref="B9" authorId="0">
      <text>
        <r>
          <rPr>
            <sz val="10"/>
            <rFont val="Arial"/>
            <family val="2"/>
          </rPr>
          <t xml:space="preserve">TARGET: 2.5% of views click or reply on WhatsApp. Replace with actual clicks + WhatsApp replies.</t>
        </r>
      </text>
    </comment>
    <comment ref="B12" authorId="0">
      <text>
        <r>
          <rPr>
            <sz val="10"/>
            <rFont val="Arial"/>
            <family val="2"/>
          </rPr>
          <t xml:space="preserve">TARGET: 16% of clicks/replies book the free class. Replace with actual.</t>
        </r>
      </text>
    </comment>
    <comment ref="B14" authorId="0">
      <text>
        <r>
          <rPr>
            <sz val="10"/>
            <rFont val="Arial"/>
            <family val="2"/>
          </rPr>
          <t xml:space="preserve">TARGET: 20% of free-class attendees buy. Replace with actual.</t>
        </r>
      </text>
    </comment>
    <comment ref="B15" authorId="0">
      <text>
        <r>
          <rPr>
            <sz val="10"/>
            <rFont val="Arial"/>
            <family val="2"/>
          </rPr>
          <t xml:space="preserve">Source: 'Calculator - BrainLIT' ad cost assumption.</t>
        </r>
      </text>
    </comment>
  </commentList>
</comments>
</file>

<file path=xl/sharedStrings.xml><?xml version="1.0" encoding="utf-8"?>
<sst xmlns="http://schemas.openxmlformats.org/spreadsheetml/2006/main" count="342" uniqueCount="296">
  <si>
    <t xml:space="preserve">Complaint</t>
  </si>
  <si>
    <t xml:space="preserve">Root Pain</t>
  </si>
  <si>
    <t xml:space="preserve">Pain rating (1-5)</t>
  </si>
  <si>
    <t xml:space="preserve">Emotional Intensity (1-5)</t>
  </si>
  <si>
    <t xml:space="preserve">Priority Score (Pain x Intensity)</t>
  </si>
  <si>
    <t xml:space="preserve">Rank</t>
  </si>
  <si>
    <t xml:space="preserve">Erosion of Critical Thinking</t>
  </si>
  <si>
    <t xml:space="preserve">Loss of Deep Learning</t>
  </si>
  <si>
    <t xml:space="preserve">High dependancy on hardware</t>
  </si>
  <si>
    <t xml:space="preserve">not everyone have modern hardware or mobile is not enough to work on</t>
  </si>
  <si>
    <t xml:space="preserve">Tutor is not good enough</t>
  </si>
  <si>
    <t xml:space="preserve">tutor anxiety or platform support for tutor is not available</t>
  </si>
  <si>
    <t xml:space="preserve">Student lose interest to comeback</t>
  </si>
  <si>
    <t xml:space="preserve"> Gamification or reward systems not properly introduced</t>
  </si>
  <si>
    <t xml:space="preserve">Parent uncertainity of student future</t>
  </si>
  <si>
    <t xml:space="preserve">random changes or FOMO in this AI era, worried about kids education</t>
  </si>
  <si>
    <t xml:space="preserve">Parent Feel alone</t>
  </si>
  <si>
    <t xml:space="preserve">No AI community to express the same pain they are undergoing</t>
  </si>
  <si>
    <t xml:space="preserve">parent dissatisfied in student performance</t>
  </si>
  <si>
    <t xml:space="preserve">no proper dashboard for parent to see the progress</t>
  </si>
  <si>
    <t xml:space="preserve">parent feel unsafe with students sharing data and ethical use of AI</t>
  </si>
  <si>
    <t xml:space="preserve">no proper guard rails and handling personal data in morphing, no proper sandbox environment</t>
  </si>
  <si>
    <t xml:space="preserve">Phsycological risk</t>
  </si>
  <si>
    <t xml:space="preserve">kids may establish inappropriate relation with the chatbox referring for all situation</t>
  </si>
  <si>
    <t xml:space="preserve">Outsourcing creativity to AI</t>
  </si>
  <si>
    <t xml:space="preserve">Parents feel kids let AI generate stories, art and answers instead of imagining them — the child's own voice and originality stop developing</t>
  </si>
  <si>
    <t xml:space="preserve">students feel uncomfortable when confronted before the class students</t>
  </si>
  <si>
    <t xml:space="preserve">No proper training to the teacher to make the student feel safe in the class without any judgment</t>
  </si>
  <si>
    <t xml:space="preserve">Return money problem is a scam</t>
  </si>
  <si>
    <t xml:space="preserve">no proper handling of trust in money back guarnatee</t>
  </si>
  <si>
    <t xml:space="preserve">class continuty missed</t>
  </si>
  <si>
    <t xml:space="preserve">Lack of tutor consistency, regular rescheduling of the classes</t>
  </si>
  <si>
    <t xml:space="preserve">Loved</t>
  </si>
  <si>
    <t xml:space="preserve">Underlying Desire</t>
  </si>
  <si>
    <t xml:space="preserve">Importance (1-5)</t>
  </si>
  <si>
    <t xml:space="preserve">Analyst note</t>
  </si>
  <si>
    <t xml:space="preserve">Gamified</t>
  </si>
  <si>
    <t xml:space="preserve">Student love learning by thenself when  gamification is there</t>
  </si>
  <si>
    <t xml:space="preserve">Gamification + projects + community showcase all score 5 — they reinforce each other: a rank/badge system drives return visits, projects create the thing to show, and the showcase gives parents proof.</t>
  </si>
  <si>
    <t xml:space="preserve">project base learning </t>
  </si>
  <si>
    <t xml:space="preserve">parents are proud to show what their child create</t>
  </si>
  <si>
    <t xml:space="preserve">financial literacy</t>
  </si>
  <si>
    <t xml:space="preserve">parents loved their children getting good at finance which is a lfe skill</t>
  </si>
  <si>
    <t xml:space="preserve">portfolio displayed as community</t>
  </si>
  <si>
    <t xml:space="preserve">parent love showcasing kids project and also kids inspire on seeing on other student project</t>
  </si>
  <si>
    <t xml:space="preserve">one on one session</t>
  </si>
  <si>
    <t xml:space="preserve">Students get individual attention</t>
  </si>
  <si>
    <t xml:space="preserve">Top 3 Pains</t>
  </si>
  <si>
    <t xml:space="preserve">Analyst rationale</t>
  </si>
  <si>
    <t xml:space="preserve">1. Parent uncertainty about child's future in the AI era (FOMO) — score 25</t>
  </si>
  <si>
    <t xml:space="preserve">The emotional trigger that makes parents search and pay. Drives the purchase.</t>
  </si>
  <si>
    <t xml:space="preserve">2. Erosion of critical thinking — kids outsourcing thinking &amp; creativity to AI — score 25</t>
  </si>
  <si>
    <t xml:space="preserve">Replaced 'uncomfortable being confronted in class' (score 16). Critical-thinking loss is scored 5/5 in your own VOC, is the #1 parent fear in 2025-26 surveys (~70% of parents), and is exactly what BrainLIT's 'Mudhala Yosi — Think First' method solves. 'Safe, no-judgment class' is kept as a delivery promise (see P3).</t>
  </si>
  <si>
    <t xml:space="preserve">3. Student loses interest and does not come back (drop-off) — score 25</t>
  </si>
  <si>
    <t xml:space="preserve">Drives retention and membership revenue (Spark ₹999/month). Solved by rank system + weekly Yosi Challenges.</t>
  </si>
  <si>
    <t xml:space="preserve">Top 3 Desires</t>
  </si>
  <si>
    <t xml:space="preserve">1. Project-based learning — a real thing the child built</t>
  </si>
  <si>
    <t xml:space="preserve">2. Gamified progress (ranks, badges, challenges)</t>
  </si>
  <si>
    <t xml:space="preserve">3. Portfolio showcased to the community (Demo Day, parents watching)</t>
  </si>
  <si>
    <t xml:space="preserve">Core Problem Statement:</t>
  </si>
  <si>
    <t xml:space="preserve">Parents in the AI era are anxious that their children will either fall behind or let AI do their thinking for them. They need a safe, engaging programme where children learn to THINK FIRST and then use AI to build real projects — with gamified progress that keeps them coming back and a visible portfolio + Demo Day that lets parents see the growth.</t>
  </si>
  <si>
    <t xml:space="preserve">Competitor</t>
  </si>
  <si>
    <t xml:space="preserve">USP / Promise</t>
  </si>
  <si>
    <t xml:space="preserve">Funnels</t>
  </si>
  <si>
    <t xml:space="preserve">Hooks</t>
  </si>
  <si>
    <t xml:space="preserve">Main Offer</t>
  </si>
  <si>
    <t xml:space="preserve">Price</t>
  </si>
  <si>
    <t xml:space="preserve">CTA</t>
  </si>
  <si>
    <t xml:space="preserve">Weakness</t>
  </si>
  <si>
    <t xml:space="preserve">Price basis / Source</t>
  </si>
  <si>
    <t xml:space="preserve">Tynker</t>
  </si>
  <si>
    <t xml:space="preserve">AI + Coding for Kids — learn AI by building interactive projects, games and apps while developing critical thinking and creativity</t>
  </si>
  <si>
    <t xml:space="preserve">SEO → Free lessons/projects → Explore curriculum → Subscription</t>
  </si>
  <si>
    <t xml:space="preserve">'AI can code but only you can innovate'</t>
  </si>
  <si>
    <t xml:space="preserve">Self-paced subscription with limited free lessons; 40% discount if you sign up now</t>
  </si>
  <si>
    <t xml:space="preserve">Quarterly ₹499.80/mo, Yearly ₹434.95/mo, Lifetime ₹13,199 one-time</t>
  </si>
  <si>
    <t xml:space="preserve">Join Free — lead form</t>
  </si>
  <si>
    <t xml:space="preserve">Self-paced — child needs constant self-motivation; no live tutor, no local language, no parent visibility beyond app</t>
  </si>
  <si>
    <t xml:space="preserve">Captured by owner from tynker.com (India pricing page)</t>
  </si>
  <si>
    <t xml:space="preserve">Create &amp; Learn</t>
  </si>
  <si>
    <t xml:space="preserve">3 big promises: expert live teachers, small classes (≤5), fun project-based curriculum designed with Google/Stanford alumni</t>
  </si>
  <si>
    <t xml:space="preserve">Google Ads + SEO → FREE intro class → counsellor/email nurture → quarterly pack</t>
  </si>
  <si>
    <t xml:space="preserve">'Free live AI class for kids' — free intro class hook, 3.2x avg ROAS reported by their agency</t>
  </si>
  <si>
    <t xml:space="preserve">Small-group live classes (AI Explorers, ChatGPT for kids, Python AI), sold in terms of ~10-12 classes</t>
  </si>
  <si>
    <t xml:space="preserve">≈ US$25–30 per class (≈ ₹2,100–2,500); term ≈ US$300–325</t>
  </si>
  <si>
    <t xml:space="preserve">Book a FREE class; CRM + lead form + WhatsApp follow-up</t>
  </si>
  <si>
    <t xml:space="preserve">US-timezone/US pricing — expensive for Indian parents; English-only; AI taught as tech skill, not thinking skill</t>
  </si>
  <si>
    <t xml:space="preserve">create-learn.us; codecompasskids.com review 2026</t>
  </si>
  <si>
    <t xml:space="preserve">Code.org / CodeA</t>
  </si>
  <si>
    <t xml:space="preserve">Free, standards-aligned CS + AI education for everyone</t>
  </si>
  <si>
    <t xml:space="preserve">School/teacher adoption → Hour of Code / Hour of AI campaigns → self-serve student accounts</t>
  </si>
  <si>
    <t xml:space="preserve">'Hour of AI' — anyone can learn in one hour</t>
  </si>
  <si>
    <t xml:space="preserve">Free courses &amp; AI lessons, mostly delivered through schools</t>
  </si>
  <si>
    <t xml:space="preserve">Free</t>
  </si>
  <si>
    <t xml:space="preserve">Start learning / Teachers sign up</t>
  </si>
  <si>
    <t xml:space="preserve">No live mentor, no accountability, no local-language support; parents get no progress visibility; depends on school teacher quality</t>
  </si>
  <si>
    <t xml:space="preserve">code.org</t>
  </si>
  <si>
    <t xml:space="preserve">BrightCHAMPS</t>
  </si>
  <si>
    <t xml:space="preserve">Live, personalised future-skills education (coding, AI, robotics, financial literacy) — 1:1 with a teacher</t>
  </si>
  <si>
    <t xml:space="preserve">Meta/Google ads → free trial class → sales counsellor call → class-pack upsell</t>
  </si>
  <si>
    <t xml:space="preserve">'Free 1:1 trial class' + fear-of-missing-out on future skills</t>
  </si>
  <si>
    <t xml:space="preserve">1:1 live class packs (Gen-AI for kids, coding, financial literacy); ages 6-16</t>
  </si>
  <si>
    <t xml:space="preserve">≈ US$16–25 per 60-min class (≈ ₹1,300–2,100); India pricing quote-based; packs of 10-15+ classes</t>
  </si>
  <si>
    <t xml:space="preserve">Book a free trial class</t>
  </si>
  <si>
    <t xml:space="preserve">High-pressure counsellor sales; expensive packs; tutor churn &amp; rescheduling complaints; screen-time-heavy 1:1 with little peer community</t>
  </si>
  <si>
    <t xml:space="preserve">brightchamps.com; myengineeringbuddy.com review 2025</t>
  </si>
  <si>
    <t xml:space="preserve">Codingal</t>
  </si>
  <si>
    <t xml:space="preserve">AI-first coding education with projects and progression (48-lesson AI &amp; AI/ML tracks)</t>
  </si>
  <si>
    <t xml:space="preserve">SEO city pages (e.g. 'coding classes in Chennai') + ads → free trial → academic counsellor</t>
  </si>
  <si>
    <t xml:space="preserve">'Free trial class — no card needed'; scholarships &amp; sibling discounts</t>
  </si>
  <si>
    <t xml:space="preserve">Long-term AI/coding tracks; 1:1, micro-group (2-3) or small group (4-5)</t>
  </si>
  <si>
    <t xml:space="preserve">Not public; premium academies ≈ ₹15,000–80,000 per term</t>
  </si>
  <si>
    <t xml:space="preserve">Book a free trial lesson</t>
  </si>
  <si>
    <t xml:space="preserve">Coding-centric — heavy for kids/parents who want thinking &amp; AI literacy, not programming; opaque pricing; English-first</t>
  </si>
  <si>
    <t xml:space="preserve">codingal.com; juniorcodes.com market reference</t>
  </si>
  <si>
    <t xml:space="preserve">Codevidhya</t>
  </si>
  <si>
    <t xml:space="preserve">Personalised 1:1 coding + school implementation (Scratch to AI)</t>
  </si>
  <si>
    <t xml:space="preserve">B2B school partnerships + SEO → free trial class</t>
  </si>
  <si>
    <t xml:space="preserve">'Personalised live coding classes'</t>
  </si>
  <si>
    <t xml:space="preserve">1:1 live coding/AI classes ages 6-16 + school curriculum licensing</t>
  </si>
  <si>
    <t xml:space="preserve">Not public — quote after trial</t>
  </si>
  <si>
    <t xml:space="preserve">Primarily coding syllabus; weak brand pull with parents; no community/showcase layer</t>
  </si>
  <si>
    <t xml:space="preserve">codevidhya.com</t>
  </si>
  <si>
    <t xml:space="preserve">PlanetSpark</t>
  </si>
  <si>
    <t xml:space="preserve">Communication &amp; public-speaking skills for kids (English, debate, creative writing) with AI feedback</t>
  </si>
  <si>
    <t xml:space="preserve">Heavy Meta/YouTube ads → free trial → counsellor call</t>
  </si>
  <si>
    <t xml:space="preserve">'Make your child a confident speaker'</t>
  </si>
  <si>
    <t xml:space="preserve">1:1 live communication courses; annual packs</t>
  </si>
  <si>
    <t xml:space="preserve">≈ ₹13,000 entry to ₹39,000 premium bundles</t>
  </si>
  <si>
    <t xml:space="preserve">Not an AI-literacy programme; English-only; pushy sales. BUT it proves Indian parents pay for 'confidence/thinking' outcomes — BrainLIT's debate (Naan Solluvaen) overlaps here</t>
  </si>
  <si>
    <t xml:space="preserve">planetspark.in fee blog</t>
  </si>
  <si>
    <t xml:space="preserve">DIY: YouTube + free ChatGPT (substitute)</t>
  </si>
  <si>
    <t xml:space="preserve">Free, unlimited, on-demand</t>
  </si>
  <si>
    <t xml:space="preserve">Organic / algorithm</t>
  </si>
  <si>
    <t xml:space="preserve">Viral 'AI hacks' videos</t>
  </si>
  <si>
    <t xml:space="preserve">Kids self-learn AI tools</t>
  </si>
  <si>
    <t xml:space="preserve">—</t>
  </si>
  <si>
    <t xml:space="preserve">No structure, no safety guard-rails, no feedback — this is exactly the 'AI does my thinking' risk parents fear</t>
  </si>
  <si>
    <t xml:space="preserve">Analyst assessment</t>
  </si>
  <si>
    <t xml:space="preserve">Competitor pattern (analyst summary)</t>
  </si>
  <si>
    <t xml:space="preserve">1. Everyone sells AI as a CODING / TOOL skill — nobody owns 'thinking first' in the AI era.
2. Everyone uses the same funnel: ad → FREE trial class → counsellor call → expensive pack. Parents are tired of pushy sales.
3. Nobody teaches in Tamil/Tanglish or is rooted in Tamil Nadu parents' context.
4. Weak parent visibility and no peer community/showcase — progress is invisible between classes.
5. Price anchors: ₹1,300–2,500 per live class (1:1 or small group); subscriptions ₹435–500/month self-paced.</t>
  </si>
  <si>
    <t xml:space="preserve">Feature / Expectation</t>
  </si>
  <si>
    <t xml:space="preserve">Competitor A: BrightCHAMPS</t>
  </si>
  <si>
    <t xml:space="preserve">Competitor B: Codingal</t>
  </si>
  <si>
    <t xml:space="preserve">Competitor C: Tynker / Create &amp; Learn</t>
  </si>
  <si>
    <t xml:space="preserve">Market Wants (Y/N)</t>
  </si>
  <si>
    <t xml:space="preserve">Gap?</t>
  </si>
  <si>
    <t xml:space="preserve">BrainLIT today</t>
  </si>
  <si>
    <t xml:space="preserve">Teaches kids to think critically BEFORE using AI (not just tool/coding skills)</t>
  </si>
  <si>
    <t xml:space="preserve">No</t>
  </si>
  <si>
    <t xml:space="preserve">Partial (claims it)</t>
  </si>
  <si>
    <t xml:space="preserve">Yes</t>
  </si>
  <si>
    <t xml:space="preserve">YES — core gap</t>
  </si>
  <si>
    <t xml:space="preserve">Yes — L.I.T. + 5 Thinking Muscles</t>
  </si>
  <si>
    <t xml:space="preserve">Local-language (Tamil / Tanglish) instruction</t>
  </si>
  <si>
    <t xml:space="preserve">YES — unserved</t>
  </si>
  <si>
    <t xml:space="preserve">Yes — Tanglish</t>
  </si>
  <si>
    <t xml:space="preserve">Real project + portfolio the child owns</t>
  </si>
  <si>
    <t xml:space="preserve">No (table stakes)</t>
  </si>
  <si>
    <t xml:space="preserve">Yes — 12-page portfolio + Capstone</t>
  </si>
  <si>
    <t xml:space="preserve">Live Demo Day where parents watch the child present</t>
  </si>
  <si>
    <t xml:space="preserve">Partial</t>
  </si>
  <si>
    <t xml:space="preserve">YES</t>
  </si>
  <si>
    <t xml:space="preserve">Yes — Demo Day</t>
  </si>
  <si>
    <t xml:space="preserve">Parent progress visibility (weekly updates / dashboard)</t>
  </si>
  <si>
    <t xml:space="preserve">Partial (reports)</t>
  </si>
  <si>
    <t xml:space="preserve">Partial (app)</t>
  </si>
  <si>
    <t xml:space="preserve">YES — partial gap</t>
  </si>
  <si>
    <t xml:space="preserve">Yes — WhatsApp after every session; dashboard not yet</t>
  </si>
  <si>
    <t xml:space="preserve">Gamified progress that makes kids come back</t>
  </si>
  <si>
    <t xml:space="preserve">Partial (badges)</t>
  </si>
  <si>
    <t xml:space="preserve">Yes — Spark/Flame/Blaze ranks</t>
  </si>
  <si>
    <t xml:space="preserve">AI safety, ethics &amp; data guard-rails taught explicitly</t>
  </si>
  <si>
    <t xml:space="preserve">Partial — Fact Detective; add safety charter</t>
  </si>
  <si>
    <t xml:space="preserve">Peer community / debate across cities</t>
  </si>
  <si>
    <t xml:space="preserve">Yes — Naan Solluvaen (membership)</t>
  </si>
  <si>
    <t xml:space="preserve">Consistent tutor / no rescheduling</t>
  </si>
  <si>
    <t xml:space="preserve">No (churn complaints)</t>
  </si>
  <si>
    <t xml:space="preserve">Yes — founder-led small cohorts (≤15)</t>
  </si>
  <si>
    <t xml:space="preserve">Affordable for Tier-1/2 Indian families</t>
  </si>
  <si>
    <t xml:space="preserve">Yes (self-paced only)</t>
  </si>
  <si>
    <t xml:space="preserve">Yes — ₹999/month membership</t>
  </si>
  <si>
    <t xml:space="preserve">Transparent pricing, no pushy counsellor call</t>
  </si>
  <si>
    <t xml:space="preserve">Yes — price stated openly</t>
  </si>
  <si>
    <t xml:space="preserve">Expectation</t>
  </si>
  <si>
    <t xml:space="preserve">Parents want their child to be future-ready with AI WITHOUT losing the ability to think, create and speak for themselves — in a safe, engaging, affordable class they can actually see progress in.</t>
  </si>
  <si>
    <t xml:space="preserve">Current Market Delivery</t>
  </si>
  <si>
    <t xml:space="preserve">Coding-first AI courses in English, sold through free-trial → counsellor pressure → costly 1:1 packs; progress mostly invisible to parents; no peer community; self-paced apps lose the child in weeks.</t>
  </si>
  <si>
    <t xml:space="preserve">Gap Statement</t>
  </si>
  <si>
    <t xml:space="preserve">No one in Tamil Nadu offers a THINK-FIRST AI programme in Tanglish that turns kids into confident thinkers and builders, with visible proof (portfolio + Demo Day) and a gamified community that keeps them coming back.</t>
  </si>
  <si>
    <t xml:space="preserve">Chosen Category</t>
  </si>
  <si>
    <t xml:space="preserve">Think-First AI Literacy for Kids (Grades 6–10) — not a coding class</t>
  </si>
  <si>
    <t xml:space="preserve">What competitors focus on</t>
  </si>
  <si>
    <t xml:space="preserve">Coding syntax and AI tools: 'learn Python / build a chatbot', certificates, and 1:1 tutor hours. They sell SKILLS and use fear of missing out, pushed through free trial → counsellor calls.</t>
  </si>
  <si>
    <t xml:space="preserve">My focus</t>
  </si>
  <si>
    <t xml:space="preserve">THINKING before tools: the L.I.T. method (Listen, Interrogate, Think Aloud) and 5 Thinking Muscles (Question, Skeptic, Context, Empathy, Courage) — then AI to build real projects. Taught in Tanglish, in small founder-led cohorts, with visible proof for parents (portfolio, Demo Day, WhatsApp updates) and a rank system + community that keeps kids coming back.</t>
  </si>
  <si>
    <t xml:space="preserve">Category Claim Statement</t>
  </si>
  <si>
    <t xml:space="preserve">BrainLIT is the THINK-FIRST AI school for Tamil kids: other courses teach children to use AI — BrainLIT teaches them to out-think it. 'Mudhala Yosi — Think First.'</t>
  </si>
  <si>
    <t xml:space="preserve">WHO</t>
  </si>
  <si>
    <t xml:space="preserve">Tamil-speaking parents (Chennai, Coimbatore &amp; Tier-2 TN + Gulf/Singapore diaspora) of children in Grades 6–10 (age 10–15), who worry their child will fall behind in AI — or let AI do their thinking.</t>
  </si>
  <si>
    <t xml:space="preserve">PROBLEM</t>
  </si>
  <si>
    <t xml:space="preserve">Kids are using ChatGPT to skip thinking and creativity, lose interest in classes quickly, and parents cannot see real progress — while existing AI courses are coding-heavy, English-only, and sold with pressure.</t>
  </si>
  <si>
    <t xml:space="preserve">OUTCOME</t>
  </si>
  <si>
    <t xml:space="preserve">In 9 live sessions the child becomes a confident, questioning thinker who builds a real AI Capstone project, presents it live at Demo Day, and leaves with a 12-page portfolio and a Spark rank — and wants to continue.</t>
  </si>
  <si>
    <t xml:space="preserve">MECHANISM</t>
  </si>
  <si>
    <t xml:space="preserve">The L.I.T. Method (Listen → Interrogate → Think Aloud) training 5 Thinking Muscles, delivered in Tanglish, in small founder-led cohorts (≤15), with weekly Yosi Challenges, a gamified rank system (Spark → Flame → Blaze) and a parent WhatsApp update after every session.</t>
  </si>
  <si>
    <t xml:space="preserve">Final USP Sentence</t>
  </si>
  <si>
    <t xml:space="preserve">I help Tamil-speaking parents of 10–15 year-olds solve the fear that AI will do their child's thinking, to achieve a confident thinker who builds and presents real AI projects, using the Tanglish L.I.T. 'Think First' method (Listen, Interrogate, Think Aloud).</t>
  </si>
  <si>
    <t xml:space="preserve">I help ____ solve ____ to achieve ____ using ____</t>
  </si>
  <si>
    <t xml:space="preserve">Short USP / tagline</t>
  </si>
  <si>
    <t xml:space="preserve">Other courses teach kids to USE AI. BrainLIT teaches them to OUT-THINK it — in Tanglish.</t>
  </si>
  <si>
    <t xml:space="preserve">Tanglish tagline</t>
  </si>
  <si>
    <t xml:space="preserve">Mudhala Yosi — aprom AI. (Think first — then AI.)</t>
  </si>
  <si>
    <t xml:space="preserve">Proof Type</t>
  </si>
  <si>
    <t xml:space="preserve">Description</t>
  </si>
  <si>
    <t xml:space="preserve">Strength (1-5)</t>
  </si>
  <si>
    <t xml:space="preserve">Action to strengthen (next 30 days)</t>
  </si>
  <si>
    <t xml:space="preserve">Testimonials</t>
  </si>
  <si>
    <t xml:space="preserve">Cohort 1 (May 2026) parents and children — Demo Day reactions, 'Before BrainLIT I ___, Now I ___' video compilation</t>
  </si>
  <si>
    <t xml:space="preserve">Collect 5 short parent video testimonials (30-60 sec, in Tamil/Tanglish) with the child's Capstone on screen. Ask right after Demo Day moments.</t>
  </si>
  <si>
    <t xml:space="preserve">Metrics / Results</t>
  </si>
  <si>
    <t xml:space="preserve">Cohort 1: 9-session cohort, Demo Day, per-child Life OS portfolios. Not yet measured: completion %, membership conversion %, before/after thinking score</t>
  </si>
  <si>
    <t xml:space="preserve">Publish 3 numbers: session attendance %, Demo Day presentation %, Spark membership conversion %. Add a simple before/after 'Thinking Muscle' self-rating.</t>
  </si>
  <si>
    <t xml:space="preserve">Clients / Brands</t>
  </si>
  <si>
    <t xml:space="preserve">Student work from named schools (e.g. Narayana e-Techno, Chennai Public School) in Life OS portfolios; webinar registrants across TN cities</t>
  </si>
  <si>
    <t xml:space="preserve">Get written permission to show 'kids from X schools'; pursue 1-2 school workshop partnerships (CBSE CT &amp; AI curriculum from 2026-27 is the opening).</t>
  </si>
  <si>
    <t xml:space="preserve">Guarantee / Risk Reversal</t>
  </si>
  <si>
    <t xml:space="preserve">Proposed: 'Attend the first 2 sessions — if your child is not excited to come back, full refund, no questions.' Membership: cancel any month.</t>
  </si>
  <si>
    <t xml:space="preserve">Make it simple and written; pay refunds within 48 hours (VOC shows parents distrust money-back claims — speed builds trust).</t>
  </si>
  <si>
    <t xml:space="preserve">Demonstration / Artifacts</t>
  </si>
  <si>
    <t xml:space="preserve">Children's Capstones, AI storybooks, debate videos (Naan Solluvaen), AI Identity Cards — shareable on Instagram/WhatsApp</t>
  </si>
  <si>
    <t xml:space="preserve">Build a public 'BrainLIT Wall' (Instagram highlight + web page) of 20 child projects with parent consent.</t>
  </si>
  <si>
    <t xml:space="preserve">Founder / Authority</t>
  </si>
  <si>
    <t xml:space="preserve">Founder-led (Haja) — designed L.I.T. framework &amp; 5 Thinking Muscles; personally teaches every cohort</t>
  </si>
  <si>
    <t xml:space="preserve">Record a 3-min founder story video: why 'Think First'; speak at 2 school PTA meetings.</t>
  </si>
  <si>
    <t xml:space="preserve">Average proof strength</t>
  </si>
  <si>
    <t xml:space="preserve">Scores are analyst estimates (1-5) based on proof that exists today, not proof planned.</t>
  </si>
  <si>
    <t xml:space="preserve">Weakest proof type</t>
  </si>
  <si>
    <t xml:space="preserve">Headline (USP)</t>
  </si>
  <si>
    <t xml:space="preserve">Other AI courses teach your child to USE AI. BrainLIT teaches them to OUT-THINK it — in Tanglish.</t>
  </si>
  <si>
    <t xml:space="preserve">Test variants</t>
  </si>
  <si>
    <t xml:space="preserve">A — Fear: 'Is ChatGPT doing your child's homework… and their thinking?'
B — Pride: 'My 11-year-old built this and presented it live.' (Demo Day clip)
C — Identity: 'Mudhala Yosi — Think First. AI class in Tanglish.'</t>
  </si>
  <si>
    <t xml:space="preserve">Book a FREE 45-min 'AI vs Me' live class (Saturday 5 PM) — WhatsApp 'YOSI' to join</t>
  </si>
  <si>
    <t xml:space="preserve">Platform</t>
  </si>
  <si>
    <t xml:space="preserve">Meta (Instagram Reels + Facebook feed, TN + Gulf targeting) and Google Search ('AI class for kids Chennai'); WhatsApp as the reply channel</t>
  </si>
  <si>
    <t xml:space="preserve">Views</t>
  </si>
  <si>
    <t xml:space="preserve">Clicks / Replies</t>
  </si>
  <si>
    <t xml:space="preserve">Conversion %</t>
  </si>
  <si>
    <t xml:space="preserve">Free-class sign-ups (target)</t>
  </si>
  <si>
    <t xml:space="preserve">Notes</t>
  </si>
  <si>
    <t xml:space="preserve">Run 3 creatives (col C) for 7 days at equal budget. Winner = lowest cost per free-class sign-up, not most views. Pass if CTR ≥ 1.5%, cost per sign-up ≤ ₹150, ≥ 20% of free-class attendees enrol. Values in B7, B9, B12, B14 are TARGETS — overwrite with actuals; conversion % and cost per enrolment update automatically.</t>
  </si>
  <si>
    <t xml:space="preserve">Paid enrolments (target)</t>
  </si>
  <si>
    <t xml:space="preserve">Ad spend (₹)</t>
  </si>
  <si>
    <t xml:space="preserve">Cost per enrolment (₹)</t>
  </si>
  <si>
    <t xml:space="preserve">Market Pain</t>
  </si>
  <si>
    <t xml:space="preserve">Parents fear their child will fall behind in the AI era — or let AI do their thinking; kids lose interest in classes and parents cannot see progress.</t>
  </si>
  <si>
    <t xml:space="preserve">Desired Outcome</t>
  </si>
  <si>
    <t xml:space="preserve">A confident child who thinks first, builds and presents real AI projects, stays engaged — and a parent who can SEE the growth.</t>
  </si>
  <si>
    <t xml:space="preserve">Market Gap</t>
  </si>
  <si>
    <t xml:space="preserve">Category Claim</t>
  </si>
  <si>
    <t xml:space="preserve">USP Line</t>
  </si>
  <si>
    <t xml:space="preserve">Proof Stack</t>
  </si>
  <si>
    <t xml:space="preserve">Smoke / Pilot Test Result</t>
  </si>
  <si>
    <t xml:space="preserve">Pricing position</t>
  </si>
  <si>
    <t xml:space="preserve">9-session cohort, then Spark membership ₹999/month — below 1:1 players (₹1,300–2,500 per class) and above self-paced apps (₹435–500/month): 'premium community, not premium tutor'.</t>
  </si>
  <si>
    <t xml:space="preserve">Top 3 next actions</t>
  </si>
  <si>
    <t xml:space="preserve">1. Run the 7-day smoke test (P7) and replace targets with actuals.
2. Capture 5 parent video testimonials + publish 3 Cohort-1 metrics (P6).
3. Add a parent progress dashboard/monthly report and a written AI-safety charter to close the last two gaps (P3).</t>
  </si>
  <si>
    <t xml:space="preserve">Item</t>
  </si>
  <si>
    <t xml:space="preserve">Source / assumption</t>
  </si>
  <si>
    <t xml:space="preserve">P1 VOC data</t>
  </si>
  <si>
    <t xml:space="preserve">Entered by owner; analyst added Priority Score formula and revised Top 3 (rationale in P1 col B).</t>
  </si>
  <si>
    <t xml:space="preserve">BrainLIT offer details</t>
  </si>
  <si>
    <t xml:space="preserve">BrainLIT Enhanced Session Facilitator Guide (Cohort 1, May 2026): L.I.T., 5 Thinking Muscles, rank system, Demo Day, Spark membership ₹999/month.</t>
  </si>
  <si>
    <t xml:space="preserve">Ad budget ₹5,000</t>
  </si>
  <si>
    <t xml:space="preserve">'Calculator - BrainLIT' sheet (Dec 2025).</t>
  </si>
  <si>
    <t xml:space="preserve">Parent concern: ~70% fear child won't learn to think critically</t>
  </si>
  <si>
    <t xml:space="preserve">Codeyoung parent survey — https://www.codeyoung.com/blog/parents-kids-ai-survey ; CNBC Oct 2025 — https://www.cnbc.com/2025/10/13/experts-warn-ai-llm-chatgpt-gemini-perplexity-claude-grok-copilot-could-reshape-teen-youth-brains.html</t>
  </si>
  <si>
    <t xml:space="preserve">CBSE CT &amp; AI curriculum, Classes 3–8 from 2026-27</t>
  </si>
  <si>
    <t xml:space="preserve">CBSE notification — https://www.cbse.gov.in/cbsenew/documents/Notification_CT_AI_2026_27_09042026.pdf</t>
  </si>
  <si>
    <t xml:space="preserve">BrightCHAMPS pricing</t>
  </si>
  <si>
    <t xml:space="preserve">https://www.myengineeringbuddy.com/blog/brightchamps-tutoring-platform-in-depth-review/ ; https://brightchamps.com/en-in/courses/gen-ai-for-kids</t>
  </si>
  <si>
    <t xml:space="preserve">Codingal pricing/tracks</t>
  </si>
  <si>
    <t xml:space="preserve">https://www.codingal.com/en-us/courses/ai-and-machine-learning/ ; https://juniorcodes.com/coding-classes-for-kids-in-bangalore</t>
  </si>
  <si>
    <t xml:space="preserve">Create &amp; Learn pricing</t>
  </si>
  <si>
    <t xml:space="preserve">https://codecompasskids.com/create-and-learn-review/ ; https://www.create-learn.us/ai-for-kids</t>
  </si>
  <si>
    <t xml:space="preserve">PlanetSpark pricing</t>
  </si>
  <si>
    <t xml:space="preserve">https://www.planetspark.in/blogs/Understanding-PlanetSpark-Fees:-What-Makes-It-Worth-Every-Penny</t>
  </si>
  <si>
    <t xml:space="preserve">https://codevidhya.com/ai-for-kids/</t>
  </si>
  <si>
    <t xml:space="preserve">Tynker pricing</t>
  </si>
  <si>
    <t xml:space="preserve">Entered by owner (tynker.com India pricing).</t>
  </si>
  <si>
    <t xml:space="preserve">USD→INR</t>
  </si>
  <si>
    <t xml:space="preserve">≈ ₹84 per US$ (approximate; used only for ranges).</t>
  </si>
  <si>
    <t xml:space="preserve">P6 strength scores &amp; P7 targets</t>
  </si>
  <si>
    <t xml:space="preserve">Analyst estimates — replace with real data. P7 targets are marked with cell comments.</t>
  </si>
  <si>
    <t xml:space="preserve">Removed content</t>
  </si>
  <si>
    <t xml:space="preserve">P3–P7 and Final previously held a real-estate digital-marketing example (and P2 rows 17-23 an agency list). Replaced with BrainLIT analysis; original file is unchanged.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</si>
</sst>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"/>
    <numFmt numFmtId="167" formatCode="0.0%"/>
    <numFmt numFmtId="168" formatCode="#,##0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D9EAD3"/>
        <bgColor rgb="FFC9DAF8"/>
      </patternFill>
    </fill>
    <fill>
      <patternFill patternType="solid">
        <fgColor rgb="FFC9DAF8"/>
        <bgColor rgb="FFD9EAD3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CE5C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3"/>
  <sheetViews>
    <sheetView showFormulas="false" showGridLines="true" showRowColHeaders="true" showZeros="true" rightToLeft="false" tabSelected="false" showOutlineSymbols="true" defaultGridColor="true" view="normal" topLeftCell="A21" colorId="64" zoomScale="100" zoomScaleNormal="100" zoomScalePageLayoutView="100" workbookViewId="0">
      <selection pane="topLeft" activeCell="A39" activeCellId="0" sqref="A39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39.44"/>
    <col collapsed="false" customWidth="true" hidden="false" outlineLevel="0" max="2" min="2" style="0" width="51"/>
    <col collapsed="false" customWidth="true" hidden="false" outlineLevel="0" max="3" min="3" style="0" width="33.11"/>
    <col collapsed="false" customWidth="true" hidden="false" outlineLevel="0" max="4" min="4" style="0" width="28.89"/>
    <col collapsed="false" customWidth="true" hidden="false" outlineLevel="0" max="26" min="5" style="0" width="18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customFormat="false" ht="14.25" hidden="false" customHeight="true" outlineLevel="0" collapsed="false">
      <c r="A2" s="3" t="s">
        <v>6</v>
      </c>
      <c r="B2" s="3" t="s">
        <v>7</v>
      </c>
      <c r="C2" s="3" t="n">
        <v>5</v>
      </c>
      <c r="D2" s="3" t="n">
        <v>5</v>
      </c>
      <c r="E2" s="4" t="n">
        <f aca="false">C2*D2</f>
        <v>25</v>
      </c>
      <c r="F2" s="4" t="n">
        <f aca="false">RANK(E2,$E$2:$E$14)</f>
        <v>1</v>
      </c>
    </row>
    <row r="3" customFormat="false" ht="28.5" hidden="false" customHeight="true" outlineLevel="0" collapsed="false">
      <c r="A3" s="3" t="s">
        <v>8</v>
      </c>
      <c r="B3" s="3" t="s">
        <v>9</v>
      </c>
      <c r="C3" s="3" t="n">
        <v>3</v>
      </c>
      <c r="D3" s="3" t="n">
        <v>3</v>
      </c>
      <c r="E3" s="4" t="n">
        <f aca="false">C3*D3</f>
        <v>9</v>
      </c>
      <c r="F3" s="4" t="n">
        <f aca="false">RANK(E3,$E$2:$E$14)</f>
        <v>12</v>
      </c>
    </row>
    <row r="4" customFormat="false" ht="14.25" hidden="false" customHeight="true" outlineLevel="0" collapsed="false">
      <c r="A4" s="3" t="s">
        <v>10</v>
      </c>
      <c r="B4" s="3" t="s">
        <v>11</v>
      </c>
      <c r="C4" s="3" t="n">
        <v>5</v>
      </c>
      <c r="D4" s="3" t="n">
        <v>5</v>
      </c>
      <c r="E4" s="4" t="n">
        <f aca="false">C4*D4</f>
        <v>25</v>
      </c>
      <c r="F4" s="4" t="n">
        <f aca="false">RANK(E4,$E$2:$E$14)</f>
        <v>1</v>
      </c>
    </row>
    <row r="5" customFormat="false" ht="14.25" hidden="false" customHeight="true" outlineLevel="0" collapsed="false">
      <c r="A5" s="3" t="s">
        <v>12</v>
      </c>
      <c r="B5" s="3" t="s">
        <v>13</v>
      </c>
      <c r="C5" s="3" t="n">
        <v>5</v>
      </c>
      <c r="D5" s="3" t="n">
        <v>5</v>
      </c>
      <c r="E5" s="4" t="n">
        <f aca="false">C5*D5</f>
        <v>25</v>
      </c>
      <c r="F5" s="4" t="n">
        <f aca="false">RANK(E5,$E$2:$E$14)</f>
        <v>1</v>
      </c>
    </row>
    <row r="6" customFormat="false" ht="28.5" hidden="false" customHeight="true" outlineLevel="0" collapsed="false">
      <c r="A6" s="3" t="s">
        <v>14</v>
      </c>
      <c r="B6" s="3" t="s">
        <v>15</v>
      </c>
      <c r="C6" s="3" t="n">
        <v>5</v>
      </c>
      <c r="D6" s="3" t="n">
        <v>5</v>
      </c>
      <c r="E6" s="4" t="n">
        <f aca="false">C6*D6</f>
        <v>25</v>
      </c>
      <c r="F6" s="4" t="n">
        <f aca="false">RANK(E6,$E$2:$E$14)</f>
        <v>1</v>
      </c>
    </row>
    <row r="7" customFormat="false" ht="14.25" hidden="false" customHeight="true" outlineLevel="0" collapsed="false">
      <c r="A7" s="3" t="s">
        <v>16</v>
      </c>
      <c r="B7" s="3" t="s">
        <v>17</v>
      </c>
      <c r="C7" s="3" t="n">
        <v>3</v>
      </c>
      <c r="D7" s="3" t="n">
        <v>3</v>
      </c>
      <c r="E7" s="4" t="n">
        <f aca="false">C7*D7</f>
        <v>9</v>
      </c>
      <c r="F7" s="4" t="n">
        <f aca="false">RANK(E7,$E$2:$E$14)</f>
        <v>12</v>
      </c>
    </row>
    <row r="8" customFormat="false" ht="14.25" hidden="false" customHeight="true" outlineLevel="0" collapsed="false">
      <c r="A8" s="3" t="s">
        <v>18</v>
      </c>
      <c r="B8" s="3" t="s">
        <v>19</v>
      </c>
      <c r="C8" s="3" t="n">
        <v>4</v>
      </c>
      <c r="D8" s="3" t="n">
        <v>4</v>
      </c>
      <c r="E8" s="4" t="n">
        <f aca="false">C8*D8</f>
        <v>16</v>
      </c>
      <c r="F8" s="4" t="n">
        <f aca="false">RANK(E8,$E$2:$E$14)</f>
        <v>8</v>
      </c>
    </row>
    <row r="9" customFormat="false" ht="28.5" hidden="false" customHeight="true" outlineLevel="0" collapsed="false">
      <c r="A9" s="3" t="s">
        <v>20</v>
      </c>
      <c r="B9" s="3" t="s">
        <v>21</v>
      </c>
      <c r="C9" s="3" t="n">
        <v>5</v>
      </c>
      <c r="D9" s="3" t="n">
        <v>5</v>
      </c>
      <c r="E9" s="4" t="n">
        <f aca="false">C9*D9</f>
        <v>25</v>
      </c>
      <c r="F9" s="4" t="n">
        <f aca="false">RANK(E9,$E$2:$E$14)</f>
        <v>1</v>
      </c>
    </row>
    <row r="10" customFormat="false" ht="28.5" hidden="false" customHeight="true" outlineLevel="0" collapsed="false">
      <c r="A10" s="3" t="s">
        <v>22</v>
      </c>
      <c r="B10" s="3" t="s">
        <v>23</v>
      </c>
      <c r="C10" s="3" t="n">
        <v>5</v>
      </c>
      <c r="D10" s="3" t="n">
        <v>5</v>
      </c>
      <c r="E10" s="4" t="n">
        <f aca="false">C10*D10</f>
        <v>25</v>
      </c>
      <c r="F10" s="4" t="n">
        <f aca="false">RANK(E10,$E$2:$E$14)</f>
        <v>1</v>
      </c>
    </row>
    <row r="11" customFormat="false" ht="14.25" hidden="false" customHeight="true" outlineLevel="0" collapsed="false">
      <c r="A11" s="5" t="s">
        <v>24</v>
      </c>
      <c r="B11" s="5" t="s">
        <v>25</v>
      </c>
      <c r="C11" s="5" t="n">
        <v>5</v>
      </c>
      <c r="D11" s="5" t="n">
        <v>5</v>
      </c>
      <c r="E11" s="4" t="n">
        <f aca="false">C11*D11</f>
        <v>25</v>
      </c>
      <c r="F11" s="4" t="n">
        <f aca="false">RANK(E11,$E$2:$E$14)</f>
        <v>1</v>
      </c>
    </row>
    <row r="12" customFormat="false" ht="33" hidden="false" customHeight="true" outlineLevel="0" collapsed="false">
      <c r="A12" s="3" t="s">
        <v>26</v>
      </c>
      <c r="B12" s="3" t="s">
        <v>27</v>
      </c>
      <c r="C12" s="3" t="n">
        <v>4</v>
      </c>
      <c r="D12" s="3" t="n">
        <v>4</v>
      </c>
      <c r="E12" s="4" t="n">
        <f aca="false">C12*D12</f>
        <v>16</v>
      </c>
      <c r="F12" s="4" t="n">
        <f aca="false">RANK(E12,$E$2:$E$14)</f>
        <v>8</v>
      </c>
    </row>
    <row r="13" customFormat="false" ht="33" hidden="false" customHeight="true" outlineLevel="0" collapsed="false">
      <c r="A13" s="3" t="s">
        <v>28</v>
      </c>
      <c r="B13" s="3" t="s">
        <v>29</v>
      </c>
      <c r="C13" s="3" t="n">
        <v>3</v>
      </c>
      <c r="D13" s="3" t="n">
        <v>4</v>
      </c>
      <c r="E13" s="4" t="n">
        <f aca="false">C13*D13</f>
        <v>12</v>
      </c>
      <c r="F13" s="4" t="n">
        <f aca="false">RANK(E13,$E$2:$E$14)</f>
        <v>11</v>
      </c>
    </row>
    <row r="14" customFormat="false" ht="33" hidden="false" customHeight="true" outlineLevel="0" collapsed="false">
      <c r="A14" s="3" t="s">
        <v>30</v>
      </c>
      <c r="B14" s="3" t="s">
        <v>31</v>
      </c>
      <c r="C14" s="3" t="n">
        <v>4</v>
      </c>
      <c r="D14" s="3" t="n">
        <v>4</v>
      </c>
      <c r="E14" s="4" t="n">
        <f aca="false">C14*D14</f>
        <v>16</v>
      </c>
      <c r="F14" s="4" t="n">
        <f aca="false">RANK(E14,$E$2:$E$14)</f>
        <v>8</v>
      </c>
    </row>
    <row r="15" customFormat="false" ht="33" hidden="false" customHeight="true" outlineLevel="0" collapsed="false">
      <c r="A15" s="6"/>
      <c r="B15" s="6"/>
    </row>
    <row r="16" customFormat="false" ht="14.25" hidden="false" customHeight="true" outlineLevel="0" collapsed="false">
      <c r="A16" s="1" t="s">
        <v>32</v>
      </c>
      <c r="B16" s="1" t="s">
        <v>33</v>
      </c>
      <c r="C16" s="1" t="s">
        <v>34</v>
      </c>
      <c r="D16" s="2" t="s">
        <v>35</v>
      </c>
    </row>
    <row r="17" customFormat="false" ht="14.25" hidden="false" customHeight="true" outlineLevel="0" collapsed="false">
      <c r="A17" s="4" t="s">
        <v>36</v>
      </c>
      <c r="B17" s="3" t="s">
        <v>37</v>
      </c>
      <c r="C17" s="3" t="n">
        <v>5</v>
      </c>
      <c r="D17" s="4" t="s">
        <v>38</v>
      </c>
    </row>
    <row r="18" customFormat="false" ht="14.25" hidden="false" customHeight="true" outlineLevel="0" collapsed="false">
      <c r="A18" s="3" t="s">
        <v>39</v>
      </c>
      <c r="B18" s="3" t="s">
        <v>40</v>
      </c>
      <c r="C18" s="3" t="n">
        <v>5</v>
      </c>
    </row>
    <row r="19" customFormat="false" ht="28.5" hidden="false" customHeight="true" outlineLevel="0" collapsed="false">
      <c r="A19" s="3" t="s">
        <v>41</v>
      </c>
      <c r="B19" s="3" t="s">
        <v>42</v>
      </c>
      <c r="C19" s="3" t="n">
        <v>3</v>
      </c>
    </row>
    <row r="20" customFormat="false" ht="28.5" hidden="false" customHeight="true" outlineLevel="0" collapsed="false">
      <c r="A20" s="3" t="s">
        <v>43</v>
      </c>
      <c r="B20" s="3" t="s">
        <v>44</v>
      </c>
      <c r="C20" s="3" t="n">
        <v>5</v>
      </c>
    </row>
    <row r="21" customFormat="false" ht="14.25" hidden="false" customHeight="true" outlineLevel="0" collapsed="false">
      <c r="A21" s="3" t="s">
        <v>45</v>
      </c>
      <c r="B21" s="3" t="s">
        <v>46</v>
      </c>
      <c r="C21" s="3" t="n">
        <v>4</v>
      </c>
    </row>
    <row r="22" customFormat="false" ht="14.25" hidden="false" customHeight="true" outlineLevel="0" collapsed="false">
      <c r="A22" s="7"/>
      <c r="B22" s="7"/>
      <c r="C22" s="7"/>
    </row>
    <row r="23" customFormat="false" ht="14.25" hidden="false" customHeight="true" outlineLevel="0" collapsed="false">
      <c r="A23" s="7"/>
      <c r="B23" s="7"/>
      <c r="C23" s="7"/>
    </row>
    <row r="24" customFormat="false" ht="15.75" hidden="false" customHeight="true" outlineLevel="0" collapsed="false">
      <c r="A24" s="7"/>
      <c r="B24" s="7"/>
      <c r="C24" s="7"/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>
      <c r="A28" s="2" t="s">
        <v>47</v>
      </c>
      <c r="B28" s="2" t="s">
        <v>48</v>
      </c>
    </row>
    <row r="29" customFormat="false" ht="15.75" hidden="false" customHeight="true" outlineLevel="0" collapsed="false">
      <c r="A29" s="3" t="s">
        <v>49</v>
      </c>
      <c r="B29" s="4" t="s">
        <v>50</v>
      </c>
    </row>
    <row r="30" customFormat="false" ht="28.5" hidden="false" customHeight="true" outlineLevel="0" collapsed="false">
      <c r="A30" s="3" t="s">
        <v>51</v>
      </c>
      <c r="B30" s="4" t="s">
        <v>52</v>
      </c>
    </row>
    <row r="31" customFormat="false" ht="15.75" hidden="false" customHeight="true" outlineLevel="0" collapsed="false">
      <c r="A31" s="3" t="s">
        <v>53</v>
      </c>
      <c r="B31" s="4" t="s">
        <v>54</v>
      </c>
    </row>
    <row r="32" customFormat="false" ht="15.75" hidden="false" customHeight="true" outlineLevel="0" collapsed="false"/>
    <row r="33" customFormat="false" ht="15.75" hidden="false" customHeight="true" outlineLevel="0" collapsed="false">
      <c r="A33" s="2" t="s">
        <v>55</v>
      </c>
    </row>
    <row r="34" customFormat="false" ht="15.75" hidden="false" customHeight="true" outlineLevel="0" collapsed="false">
      <c r="A34" s="4" t="s">
        <v>56</v>
      </c>
    </row>
    <row r="35" customFormat="false" ht="15.75" hidden="false" customHeight="true" outlineLevel="0" collapsed="false">
      <c r="A35" s="4" t="s">
        <v>57</v>
      </c>
    </row>
    <row r="36" customFormat="false" ht="15.75" hidden="false" customHeight="true" outlineLevel="0" collapsed="false">
      <c r="A36" s="4" t="s">
        <v>58</v>
      </c>
    </row>
    <row r="37" customFormat="false" ht="15.75" hidden="false" customHeight="true" outlineLevel="0" collapsed="false"/>
    <row r="38" customFormat="false" ht="15.75" hidden="false" customHeight="true" outlineLevel="0" collapsed="false">
      <c r="A38" s="2" t="s">
        <v>59</v>
      </c>
    </row>
    <row r="39" customFormat="false" ht="93" hidden="false" customHeight="true" outlineLevel="0" collapsed="false">
      <c r="A39" s="4" t="s">
        <v>60</v>
      </c>
    </row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28.33"/>
    <col collapsed="false" customWidth="true" hidden="false" outlineLevel="0" max="5" min="5" style="0" width="25"/>
    <col collapsed="false" customWidth="true" hidden="false" outlineLevel="0" max="6" min="6" style="0" width="21.89"/>
    <col collapsed="false" customWidth="true" hidden="false" outlineLevel="0" max="7" min="7" style="0" width="27.33"/>
    <col collapsed="false" customWidth="true" hidden="false" outlineLevel="0" max="8" min="8" style="0" width="26.11"/>
    <col collapsed="false" customWidth="true" hidden="false" outlineLevel="0" max="26" min="9" style="0" width="34"/>
  </cols>
  <sheetData>
    <row r="1" customFormat="false" ht="14.25" hidden="false" customHeight="true" outlineLevel="0" collapsed="false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G1" s="8" t="s">
        <v>67</v>
      </c>
      <c r="H1" s="9" t="s">
        <v>68</v>
      </c>
      <c r="I1" s="10" t="s">
        <v>69</v>
      </c>
    </row>
    <row r="2" customFormat="false" ht="72" hidden="false" customHeight="true" outlineLevel="0" collapsed="false">
      <c r="A2" s="3" t="s">
        <v>70</v>
      </c>
      <c r="B2" s="4" t="s">
        <v>71</v>
      </c>
      <c r="C2" s="4" t="s">
        <v>72</v>
      </c>
      <c r="D2" s="3" t="s">
        <v>73</v>
      </c>
      <c r="E2" s="3" t="s">
        <v>74</v>
      </c>
      <c r="F2" s="3" t="s">
        <v>75</v>
      </c>
      <c r="G2" s="3" t="s">
        <v>76</v>
      </c>
      <c r="H2" s="3" t="s">
        <v>77</v>
      </c>
      <c r="I2" s="4" t="s">
        <v>78</v>
      </c>
    </row>
    <row r="3" customFormat="false" ht="14.25" hidden="false" customHeight="true" outlineLevel="0" collapsed="false">
      <c r="A3" s="4" t="s">
        <v>79</v>
      </c>
      <c r="B3" s="3" t="s">
        <v>80</v>
      </c>
      <c r="C3" s="4" t="s">
        <v>81</v>
      </c>
      <c r="D3" s="3" t="s">
        <v>82</v>
      </c>
      <c r="E3" s="3" t="s">
        <v>83</v>
      </c>
      <c r="F3" s="3" t="s">
        <v>84</v>
      </c>
      <c r="G3" s="3" t="s">
        <v>85</v>
      </c>
      <c r="H3" s="3" t="s">
        <v>86</v>
      </c>
      <c r="I3" s="4" t="s">
        <v>87</v>
      </c>
    </row>
    <row r="4" customFormat="false" ht="28.5" hidden="false" customHeight="true" outlineLevel="0" collapsed="false">
      <c r="A4" s="4" t="s">
        <v>88</v>
      </c>
      <c r="B4" s="4" t="s">
        <v>89</v>
      </c>
      <c r="C4" s="3" t="s">
        <v>90</v>
      </c>
      <c r="D4" s="3" t="s">
        <v>91</v>
      </c>
      <c r="E4" s="3" t="s">
        <v>92</v>
      </c>
      <c r="F4" s="3" t="s">
        <v>93</v>
      </c>
      <c r="G4" s="3" t="s">
        <v>94</v>
      </c>
      <c r="H4" s="3" t="s">
        <v>95</v>
      </c>
      <c r="I4" s="4" t="s">
        <v>96</v>
      </c>
    </row>
    <row r="5" customFormat="false" ht="28.5" hidden="false" customHeight="true" outlineLevel="0" collapsed="false">
      <c r="A5" s="4" t="s">
        <v>97</v>
      </c>
      <c r="B5" s="4" t="s">
        <v>98</v>
      </c>
      <c r="C5" s="3" t="s">
        <v>99</v>
      </c>
      <c r="D5" s="3" t="s">
        <v>100</v>
      </c>
      <c r="E5" s="3" t="s">
        <v>101</v>
      </c>
      <c r="F5" s="3" t="s">
        <v>102</v>
      </c>
      <c r="G5" s="3" t="s">
        <v>103</v>
      </c>
      <c r="H5" s="3" t="s">
        <v>104</v>
      </c>
      <c r="I5" s="4" t="s">
        <v>105</v>
      </c>
    </row>
    <row r="6" customFormat="false" ht="28.5" hidden="false" customHeight="true" outlineLevel="0" collapsed="false">
      <c r="A6" s="4" t="s">
        <v>106</v>
      </c>
      <c r="B6" s="4" t="s">
        <v>107</v>
      </c>
      <c r="C6" s="3" t="s">
        <v>108</v>
      </c>
      <c r="D6" s="3" t="s">
        <v>109</v>
      </c>
      <c r="E6" s="3" t="s">
        <v>110</v>
      </c>
      <c r="F6" s="3" t="s">
        <v>111</v>
      </c>
      <c r="G6" s="3" t="s">
        <v>112</v>
      </c>
      <c r="H6" s="3" t="s">
        <v>113</v>
      </c>
      <c r="I6" s="4" t="s">
        <v>114</v>
      </c>
    </row>
    <row r="7" customFormat="false" ht="28.5" hidden="false" customHeight="true" outlineLevel="0" collapsed="false">
      <c r="A7" s="4" t="s">
        <v>115</v>
      </c>
      <c r="B7" s="4" t="s">
        <v>116</v>
      </c>
      <c r="C7" s="3" t="s">
        <v>117</v>
      </c>
      <c r="D7" s="3" t="s">
        <v>118</v>
      </c>
      <c r="E7" s="3" t="s">
        <v>119</v>
      </c>
      <c r="F7" s="3" t="s">
        <v>120</v>
      </c>
      <c r="G7" s="3" t="s">
        <v>103</v>
      </c>
      <c r="H7" s="3" t="s">
        <v>121</v>
      </c>
      <c r="I7" s="4" t="s">
        <v>122</v>
      </c>
    </row>
    <row r="8" customFormat="false" ht="14.25" hidden="false" customHeight="true" outlineLevel="0" collapsed="false">
      <c r="A8" s="3" t="s">
        <v>123</v>
      </c>
      <c r="B8" s="3" t="s">
        <v>124</v>
      </c>
      <c r="C8" s="3" t="s">
        <v>125</v>
      </c>
      <c r="D8" s="3" t="s">
        <v>126</v>
      </c>
      <c r="E8" s="3" t="s">
        <v>127</v>
      </c>
      <c r="F8" s="3" t="s">
        <v>128</v>
      </c>
      <c r="G8" s="3" t="s">
        <v>103</v>
      </c>
      <c r="H8" s="3" t="s">
        <v>129</v>
      </c>
      <c r="I8" s="4" t="s">
        <v>130</v>
      </c>
    </row>
    <row r="9" customFormat="false" ht="14.25" hidden="false" customHeight="true" outlineLevel="0" collapsed="false">
      <c r="A9" s="3" t="s">
        <v>131</v>
      </c>
      <c r="B9" s="3" t="s">
        <v>132</v>
      </c>
      <c r="C9" s="3" t="s">
        <v>133</v>
      </c>
      <c r="D9" s="3" t="s">
        <v>134</v>
      </c>
      <c r="E9" s="3" t="s">
        <v>135</v>
      </c>
      <c r="F9" s="3" t="s">
        <v>93</v>
      </c>
      <c r="G9" s="3" t="s">
        <v>136</v>
      </c>
      <c r="H9" s="3" t="s">
        <v>137</v>
      </c>
      <c r="I9" s="4" t="s">
        <v>138</v>
      </c>
    </row>
    <row r="10" customFormat="false" ht="14.25" hidden="false" customHeight="true" outlineLevel="0" collapsed="false">
      <c r="A10" s="7"/>
      <c r="B10" s="7"/>
      <c r="C10" s="7"/>
      <c r="D10" s="7"/>
      <c r="E10" s="7"/>
      <c r="F10" s="7"/>
      <c r="G10" s="7"/>
      <c r="H10" s="7"/>
    </row>
    <row r="11" customFormat="false" ht="14.25" hidden="false" customHeight="true" outlineLevel="0" collapsed="false">
      <c r="A11" s="7"/>
      <c r="B11" s="7"/>
      <c r="C11" s="7"/>
      <c r="D11" s="7"/>
      <c r="E11" s="7"/>
      <c r="F11" s="7"/>
      <c r="G11" s="7"/>
      <c r="H11" s="7"/>
    </row>
    <row r="12" customFormat="false" ht="28.35" hidden="false" customHeight="false" outlineLevel="0" collapsed="false">
      <c r="A12" s="11" t="s">
        <v>139</v>
      </c>
    </row>
    <row r="13" customFormat="false" ht="109.5" hidden="false" customHeight="true" outlineLevel="0" collapsed="false">
      <c r="A13" s="12" t="s">
        <v>140</v>
      </c>
      <c r="B13" s="12"/>
      <c r="C13" s="12"/>
      <c r="D13" s="12"/>
      <c r="E13" s="12"/>
      <c r="F13" s="12"/>
      <c r="G13" s="12"/>
      <c r="H13" s="12"/>
    </row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true" outlineLevel="0" collapsed="false">
      <c r="A17" s="13"/>
      <c r="B17" s="13"/>
      <c r="D17" s="13"/>
    </row>
    <row r="18" customFormat="false" ht="15" hidden="false" customHeight="true" outlineLevel="0" collapsed="false">
      <c r="A18" s="14"/>
      <c r="B18" s="14"/>
      <c r="D18" s="14"/>
    </row>
    <row r="19" customFormat="false" ht="15" hidden="false" customHeight="true" outlineLevel="0" collapsed="false">
      <c r="A19" s="14"/>
      <c r="B19" s="14"/>
      <c r="D19" s="14"/>
    </row>
    <row r="20" customFormat="false" ht="15" hidden="false" customHeight="true" outlineLevel="0" collapsed="false">
      <c r="A20" s="14"/>
      <c r="B20" s="14"/>
      <c r="D20" s="14"/>
    </row>
    <row r="21" customFormat="false" ht="15.75" hidden="false" customHeight="true" outlineLevel="0" collapsed="false">
      <c r="A21" s="14"/>
      <c r="D21" s="14"/>
    </row>
    <row r="22" customFormat="false" ht="15.75" hidden="false" customHeight="true" outlineLevel="0" collapsed="false">
      <c r="A22" s="14"/>
      <c r="D22" s="14"/>
    </row>
    <row r="23" customFormat="false" ht="15.75" hidden="false" customHeight="true" outlineLevel="0" collapsed="false">
      <c r="A23" s="14"/>
    </row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29.44"/>
    <col collapsed="false" customWidth="true" hidden="false" outlineLevel="0" max="2" min="2" style="0" width="21"/>
    <col collapsed="false" customWidth="true" hidden="false" outlineLevel="0" max="3" min="3" style="0" width="23"/>
    <col collapsed="false" customWidth="true" hidden="false" outlineLevel="0" max="4" min="4" style="0" width="24.33"/>
    <col collapsed="false" customWidth="true" hidden="false" outlineLevel="0" max="5" min="5" style="0" width="34.89"/>
    <col collapsed="false" customWidth="true" hidden="false" outlineLevel="0" max="6" min="6" style="0" width="37.11"/>
    <col collapsed="false" customWidth="true" hidden="false" outlineLevel="0" max="26" min="7" style="0" width="28"/>
  </cols>
  <sheetData>
    <row r="1" customFormat="false" ht="14.25" hidden="false" customHeight="true" outlineLevel="0" collapsed="false">
      <c r="A1" s="8" t="s">
        <v>141</v>
      </c>
      <c r="B1" s="8" t="s">
        <v>142</v>
      </c>
      <c r="C1" s="8" t="s">
        <v>143</v>
      </c>
      <c r="D1" s="8" t="s">
        <v>144</v>
      </c>
      <c r="E1" s="8" t="s">
        <v>145</v>
      </c>
      <c r="F1" s="8" t="s">
        <v>146</v>
      </c>
      <c r="G1" s="10" t="s">
        <v>147</v>
      </c>
    </row>
    <row r="2" customFormat="false" ht="14.25" hidden="false" customHeight="true" outlineLevel="0" collapsed="false">
      <c r="A2" s="3" t="s">
        <v>148</v>
      </c>
      <c r="B2" s="3" t="s">
        <v>149</v>
      </c>
      <c r="C2" s="3" t="s">
        <v>149</v>
      </c>
      <c r="D2" s="3" t="s">
        <v>150</v>
      </c>
      <c r="E2" s="3" t="s">
        <v>151</v>
      </c>
      <c r="F2" s="3" t="s">
        <v>152</v>
      </c>
      <c r="G2" s="4" t="s">
        <v>153</v>
      </c>
    </row>
    <row r="3" customFormat="false" ht="14.25" hidden="false" customHeight="true" outlineLevel="0" collapsed="false">
      <c r="A3" s="3" t="s">
        <v>154</v>
      </c>
      <c r="B3" s="3" t="s">
        <v>149</v>
      </c>
      <c r="C3" s="3" t="s">
        <v>149</v>
      </c>
      <c r="D3" s="3" t="s">
        <v>149</v>
      </c>
      <c r="E3" s="3" t="s">
        <v>151</v>
      </c>
      <c r="F3" s="3" t="s">
        <v>155</v>
      </c>
      <c r="G3" s="4" t="s">
        <v>156</v>
      </c>
    </row>
    <row r="4" customFormat="false" ht="14.25" hidden="false" customHeight="true" outlineLevel="0" collapsed="false">
      <c r="A4" s="3" t="s">
        <v>157</v>
      </c>
      <c r="B4" s="3" t="s">
        <v>151</v>
      </c>
      <c r="C4" s="3" t="s">
        <v>151</v>
      </c>
      <c r="D4" s="3" t="s">
        <v>151</v>
      </c>
      <c r="E4" s="3" t="s">
        <v>151</v>
      </c>
      <c r="F4" s="3" t="s">
        <v>158</v>
      </c>
      <c r="G4" s="4" t="s">
        <v>159</v>
      </c>
    </row>
    <row r="5" customFormat="false" ht="14.25" hidden="false" customHeight="true" outlineLevel="0" collapsed="false">
      <c r="A5" s="3" t="s">
        <v>160</v>
      </c>
      <c r="B5" s="3" t="s">
        <v>149</v>
      </c>
      <c r="C5" s="3" t="s">
        <v>161</v>
      </c>
      <c r="D5" s="3" t="s">
        <v>149</v>
      </c>
      <c r="E5" s="3" t="s">
        <v>151</v>
      </c>
      <c r="F5" s="3" t="s">
        <v>162</v>
      </c>
      <c r="G5" s="4" t="s">
        <v>163</v>
      </c>
    </row>
    <row r="6" customFormat="false" ht="14.25" hidden="false" customHeight="true" outlineLevel="0" collapsed="false">
      <c r="A6" s="3" t="s">
        <v>164</v>
      </c>
      <c r="B6" s="3" t="s">
        <v>165</v>
      </c>
      <c r="C6" s="3" t="s">
        <v>165</v>
      </c>
      <c r="D6" s="3" t="s">
        <v>166</v>
      </c>
      <c r="E6" s="3" t="s">
        <v>151</v>
      </c>
      <c r="F6" s="3" t="s">
        <v>167</v>
      </c>
      <c r="G6" s="4" t="s">
        <v>168</v>
      </c>
    </row>
    <row r="7" customFormat="false" ht="14.25" hidden="false" customHeight="true" outlineLevel="0" collapsed="false">
      <c r="A7" s="3" t="s">
        <v>169</v>
      </c>
      <c r="B7" s="3" t="s">
        <v>161</v>
      </c>
      <c r="C7" s="3" t="s">
        <v>170</v>
      </c>
      <c r="D7" s="3" t="s">
        <v>151</v>
      </c>
      <c r="E7" s="3" t="s">
        <v>151</v>
      </c>
      <c r="F7" s="3" t="s">
        <v>161</v>
      </c>
      <c r="G7" s="4" t="s">
        <v>171</v>
      </c>
    </row>
    <row r="8" customFormat="false" ht="14.25" hidden="false" customHeight="true" outlineLevel="0" collapsed="false">
      <c r="A8" s="3" t="s">
        <v>172</v>
      </c>
      <c r="B8" s="3" t="s">
        <v>161</v>
      </c>
      <c r="C8" s="3" t="s">
        <v>161</v>
      </c>
      <c r="D8" s="3" t="s">
        <v>161</v>
      </c>
      <c r="E8" s="3" t="s">
        <v>151</v>
      </c>
      <c r="F8" s="3" t="s">
        <v>162</v>
      </c>
      <c r="G8" s="4" t="s">
        <v>173</v>
      </c>
    </row>
    <row r="9" customFormat="false" ht="14.25" hidden="false" customHeight="true" outlineLevel="0" collapsed="false">
      <c r="A9" s="3" t="s">
        <v>174</v>
      </c>
      <c r="B9" s="3" t="s">
        <v>149</v>
      </c>
      <c r="C9" s="3" t="s">
        <v>149</v>
      </c>
      <c r="D9" s="3" t="s">
        <v>149</v>
      </c>
      <c r="E9" s="3" t="s">
        <v>151</v>
      </c>
      <c r="F9" s="3" t="s">
        <v>162</v>
      </c>
      <c r="G9" s="4" t="s">
        <v>175</v>
      </c>
    </row>
    <row r="10" customFormat="false" ht="14.25" hidden="false" customHeight="true" outlineLevel="0" collapsed="false">
      <c r="A10" s="3" t="s">
        <v>176</v>
      </c>
      <c r="B10" s="3" t="s">
        <v>177</v>
      </c>
      <c r="C10" s="3" t="s">
        <v>161</v>
      </c>
      <c r="D10" s="3" t="s">
        <v>151</v>
      </c>
      <c r="E10" s="3" t="s">
        <v>151</v>
      </c>
      <c r="F10" s="3" t="s">
        <v>162</v>
      </c>
      <c r="G10" s="4" t="s">
        <v>178</v>
      </c>
    </row>
    <row r="11" customFormat="false" ht="14.25" hidden="false" customHeight="true" outlineLevel="0" collapsed="false">
      <c r="A11" s="3" t="s">
        <v>179</v>
      </c>
      <c r="B11" s="3" t="s">
        <v>149</v>
      </c>
      <c r="C11" s="3" t="s">
        <v>149</v>
      </c>
      <c r="D11" s="3" t="s">
        <v>180</v>
      </c>
      <c r="E11" s="3" t="s">
        <v>151</v>
      </c>
      <c r="F11" s="3" t="s">
        <v>162</v>
      </c>
      <c r="G11" s="4" t="s">
        <v>181</v>
      </c>
    </row>
    <row r="12" customFormat="false" ht="28.35" hidden="false" customHeight="false" outlineLevel="0" collapsed="false">
      <c r="A12" s="4" t="s">
        <v>182</v>
      </c>
      <c r="B12" s="4" t="s">
        <v>149</v>
      </c>
      <c r="C12" s="4" t="s">
        <v>149</v>
      </c>
      <c r="D12" s="4" t="s">
        <v>151</v>
      </c>
      <c r="E12" s="4" t="s">
        <v>151</v>
      </c>
      <c r="F12" s="4" t="s">
        <v>162</v>
      </c>
      <c r="G12" s="4" t="s">
        <v>183</v>
      </c>
    </row>
    <row r="13" customFormat="false" ht="14.25" hidden="false" customHeight="true" outlineLevel="0" collapsed="false">
      <c r="A13" s="13"/>
      <c r="B13" s="14"/>
    </row>
    <row r="14" customFormat="false" ht="48" hidden="false" customHeight="true" outlineLevel="0" collapsed="false">
      <c r="A14" s="15" t="s">
        <v>184</v>
      </c>
      <c r="B14" s="12" t="s">
        <v>185</v>
      </c>
      <c r="C14" s="12"/>
      <c r="D14" s="12"/>
      <c r="E14" s="12"/>
      <c r="F14" s="12"/>
      <c r="G14" s="12"/>
    </row>
    <row r="15" customFormat="false" ht="48" hidden="false" customHeight="true" outlineLevel="0" collapsed="false">
      <c r="A15" s="15" t="s">
        <v>186</v>
      </c>
      <c r="B15" s="12" t="s">
        <v>187</v>
      </c>
      <c r="C15" s="12"/>
      <c r="D15" s="12"/>
      <c r="E15" s="12"/>
      <c r="F15" s="12"/>
      <c r="G15" s="12"/>
    </row>
    <row r="16" customFormat="false" ht="48" hidden="false" customHeight="true" outlineLevel="0" collapsed="false">
      <c r="A16" s="16" t="s">
        <v>188</v>
      </c>
      <c r="B16" s="12" t="s">
        <v>189</v>
      </c>
      <c r="C16" s="12"/>
      <c r="D16" s="12"/>
      <c r="E16" s="12"/>
      <c r="F16" s="12"/>
      <c r="G16" s="12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B14:G14"/>
    <mergeCell ref="B15:G15"/>
    <mergeCell ref="B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75.66"/>
    <col collapsed="false" customWidth="true" hidden="false" outlineLevel="0" max="26" min="3" style="0" width="8.67"/>
  </cols>
  <sheetData>
    <row r="1" customFormat="false" ht="14.25" hidden="false" customHeight="true" outlineLevel="0" collapsed="false">
      <c r="A1" s="1" t="s">
        <v>190</v>
      </c>
      <c r="B1" s="3" t="s">
        <v>191</v>
      </c>
    </row>
    <row r="2" customFormat="false" ht="14.25" hidden="false" customHeight="true" outlineLevel="0" collapsed="false">
      <c r="A2" s="7"/>
      <c r="B2" s="7"/>
    </row>
    <row r="3" customFormat="false" ht="14.25" hidden="false" customHeight="true" outlineLevel="0" collapsed="false">
      <c r="A3" s="1" t="s">
        <v>192</v>
      </c>
      <c r="B3" s="3" t="s">
        <v>193</v>
      </c>
    </row>
    <row r="4" customFormat="false" ht="14.25" hidden="false" customHeight="true" outlineLevel="0" collapsed="false">
      <c r="A4" s="7"/>
      <c r="B4" s="7"/>
    </row>
    <row r="5" customFormat="false" ht="14.25" hidden="false" customHeight="true" outlineLevel="0" collapsed="false">
      <c r="A5" s="1" t="s">
        <v>194</v>
      </c>
      <c r="B5" s="3" t="s">
        <v>195</v>
      </c>
    </row>
    <row r="6" customFormat="false" ht="14.25" hidden="false" customHeight="true" outlineLevel="0" collapsed="false">
      <c r="A6" s="7"/>
    </row>
    <row r="7" customFormat="false" ht="14.25" hidden="false" customHeight="true" outlineLevel="0" collapsed="false">
      <c r="A7" s="1" t="s">
        <v>196</v>
      </c>
      <c r="B7" s="3" t="s">
        <v>197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46.11"/>
    <col collapsed="false" customWidth="true" hidden="false" outlineLevel="0" max="2" min="2" style="0" width="70.89"/>
    <col collapsed="false" customWidth="true" hidden="false" outlineLevel="0" max="26" min="3" style="0" width="8.67"/>
  </cols>
  <sheetData>
    <row r="1" customFormat="false" ht="14.25" hidden="false" customHeight="true" outlineLevel="0" collapsed="false">
      <c r="A1" s="1" t="s">
        <v>198</v>
      </c>
      <c r="B1" s="3" t="s">
        <v>199</v>
      </c>
    </row>
    <row r="2" customFormat="false" ht="14.25" hidden="false" customHeight="true" outlineLevel="0" collapsed="false">
      <c r="A2" s="7"/>
      <c r="B2" s="7"/>
    </row>
    <row r="3" customFormat="false" ht="14.25" hidden="false" customHeight="true" outlineLevel="0" collapsed="false">
      <c r="A3" s="1" t="s">
        <v>200</v>
      </c>
      <c r="B3" s="3" t="s">
        <v>201</v>
      </c>
    </row>
    <row r="4" customFormat="false" ht="14.25" hidden="false" customHeight="true" outlineLevel="0" collapsed="false">
      <c r="A4" s="7"/>
      <c r="B4" s="7"/>
    </row>
    <row r="5" customFormat="false" ht="14.25" hidden="false" customHeight="true" outlineLevel="0" collapsed="false">
      <c r="A5" s="1" t="s">
        <v>202</v>
      </c>
      <c r="B5" s="3" t="s">
        <v>203</v>
      </c>
    </row>
    <row r="6" customFormat="false" ht="14.25" hidden="false" customHeight="true" outlineLevel="0" collapsed="false">
      <c r="A6" s="7"/>
      <c r="B6" s="7"/>
    </row>
    <row r="7" customFormat="false" ht="14.25" hidden="false" customHeight="true" outlineLevel="0" collapsed="false">
      <c r="A7" s="1" t="s">
        <v>204</v>
      </c>
      <c r="B7" s="3" t="s">
        <v>205</v>
      </c>
    </row>
    <row r="8" customFormat="false" ht="14.25" hidden="false" customHeight="true" outlineLevel="0" collapsed="false">
      <c r="A8" s="7"/>
      <c r="B8" s="7"/>
    </row>
    <row r="9" customFormat="false" ht="14.25" hidden="false" customHeight="true" outlineLevel="0" collapsed="false">
      <c r="A9" s="7"/>
      <c r="B9" s="7"/>
    </row>
    <row r="10" customFormat="false" ht="14.25" hidden="false" customHeight="true" outlineLevel="0" collapsed="false">
      <c r="A10" s="17" t="s">
        <v>206</v>
      </c>
      <c r="B10" s="3" t="s">
        <v>207</v>
      </c>
    </row>
    <row r="11" customFormat="false" ht="14.25" hidden="false" customHeight="true" outlineLevel="0" collapsed="false">
      <c r="A11" s="18" t="s">
        <v>208</v>
      </c>
      <c r="B11" s="7"/>
    </row>
    <row r="12" customFormat="false" ht="28.35" hidden="false" customHeight="false" outlineLevel="0" collapsed="false">
      <c r="A12" s="2" t="s">
        <v>209</v>
      </c>
      <c r="B12" s="4" t="s">
        <v>210</v>
      </c>
    </row>
    <row r="13" customFormat="false" ht="15" hidden="false" customHeight="false" outlineLevel="0" collapsed="false">
      <c r="A13" s="2" t="s">
        <v>211</v>
      </c>
      <c r="B13" s="4" t="s">
        <v>212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4.89"/>
    <col collapsed="false" customWidth="true" hidden="false" outlineLevel="0" max="3" min="3" style="0" width="31.56"/>
    <col collapsed="false" customWidth="true" hidden="false" outlineLevel="0" max="26" min="4" style="0" width="60"/>
  </cols>
  <sheetData>
    <row r="1" customFormat="false" ht="14.25" hidden="false" customHeight="true" outlineLevel="0" collapsed="false">
      <c r="A1" s="1" t="s">
        <v>213</v>
      </c>
      <c r="B1" s="1" t="s">
        <v>214</v>
      </c>
      <c r="C1" s="1" t="s">
        <v>215</v>
      </c>
      <c r="D1" s="2" t="s">
        <v>216</v>
      </c>
    </row>
    <row r="2" customFormat="false" ht="14.25" hidden="false" customHeight="true" outlineLevel="0" collapsed="false">
      <c r="A2" s="3" t="s">
        <v>217</v>
      </c>
      <c r="B2" s="3" t="s">
        <v>218</v>
      </c>
      <c r="C2" s="3" t="n">
        <v>3</v>
      </c>
      <c r="D2" s="4" t="s">
        <v>219</v>
      </c>
    </row>
    <row r="3" customFormat="false" ht="14.25" hidden="false" customHeight="true" outlineLevel="0" collapsed="false">
      <c r="A3" s="3" t="s">
        <v>220</v>
      </c>
      <c r="B3" s="3" t="s">
        <v>221</v>
      </c>
      <c r="C3" s="3" t="n">
        <v>2</v>
      </c>
      <c r="D3" s="4" t="s">
        <v>222</v>
      </c>
    </row>
    <row r="4" customFormat="false" ht="14.25" hidden="false" customHeight="true" outlineLevel="0" collapsed="false">
      <c r="A4" s="3" t="s">
        <v>223</v>
      </c>
      <c r="B4" s="3" t="s">
        <v>224</v>
      </c>
      <c r="C4" s="3" t="n">
        <v>2</v>
      </c>
      <c r="D4" s="4" t="s">
        <v>225</v>
      </c>
    </row>
    <row r="5" customFormat="false" ht="14.25" hidden="false" customHeight="true" outlineLevel="0" collapsed="false">
      <c r="A5" s="3" t="s">
        <v>226</v>
      </c>
      <c r="B5" s="3" t="s">
        <v>227</v>
      </c>
      <c r="C5" s="3" t="n">
        <v>4</v>
      </c>
      <c r="D5" s="4" t="s">
        <v>228</v>
      </c>
    </row>
    <row r="6" customFormat="false" ht="41.75" hidden="false" customHeight="false" outlineLevel="0" collapsed="false">
      <c r="A6" s="4" t="s">
        <v>229</v>
      </c>
      <c r="B6" s="4" t="s">
        <v>230</v>
      </c>
      <c r="C6" s="4" t="n">
        <v>4</v>
      </c>
      <c r="D6" s="4" t="s">
        <v>231</v>
      </c>
    </row>
    <row r="7" customFormat="false" ht="28.35" hidden="false" customHeight="false" outlineLevel="0" collapsed="false">
      <c r="A7" s="4" t="s">
        <v>232</v>
      </c>
      <c r="B7" s="4" t="s">
        <v>233</v>
      </c>
      <c r="C7" s="4" t="n">
        <v>3</v>
      </c>
      <c r="D7" s="4" t="s">
        <v>234</v>
      </c>
    </row>
    <row r="8" customFormat="false" ht="15" hidden="false" customHeight="false" outlineLevel="0" collapsed="false"/>
    <row r="9" customFormat="false" ht="28.35" hidden="false" customHeight="false" outlineLevel="0" collapsed="false">
      <c r="A9" s="19" t="s">
        <v>235</v>
      </c>
      <c r="B9" s="4" t="s">
        <v>236</v>
      </c>
      <c r="C9" s="20" t="n">
        <f aca="false">AVERAGE(C2:C7)</f>
        <v>3</v>
      </c>
    </row>
    <row r="10" customFormat="false" ht="15" hidden="false" customHeight="false" outlineLevel="0" collapsed="false">
      <c r="A10" s="19" t="s">
        <v>237</v>
      </c>
      <c r="C10" s="4" t="str">
        <f aca="false">INDEX(A2:A7,MATCH(MIN(C2:C7),C2:C7,0))</f>
        <v>Metrics / Results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22.11"/>
    <col collapsed="false" customWidth="true" hidden="false" outlineLevel="0" max="2" min="2" style="0" width="42.11"/>
    <col collapsed="false" customWidth="true" hidden="false" outlineLevel="0" max="26" min="3" style="0" width="60"/>
  </cols>
  <sheetData>
    <row r="1" customFormat="false" ht="14.25" hidden="false" customHeight="true" outlineLevel="0" collapsed="false">
      <c r="A1" s="21" t="s">
        <v>238</v>
      </c>
      <c r="B1" s="3" t="s">
        <v>239</v>
      </c>
      <c r="C1" s="16" t="s">
        <v>240</v>
      </c>
    </row>
    <row r="2" customFormat="false" ht="14.25" hidden="false" customHeight="true" outlineLevel="0" collapsed="false">
      <c r="A2" s="7"/>
      <c r="B2" s="7"/>
      <c r="C2" s="4" t="s">
        <v>241</v>
      </c>
    </row>
    <row r="3" customFormat="false" ht="14.25" hidden="false" customHeight="true" outlineLevel="0" collapsed="false">
      <c r="A3" s="21" t="s">
        <v>67</v>
      </c>
      <c r="B3" s="3" t="s">
        <v>242</v>
      </c>
    </row>
    <row r="4" customFormat="false" ht="14.25" hidden="false" customHeight="true" outlineLevel="0" collapsed="false">
      <c r="A4" s="7"/>
      <c r="B4" s="7"/>
    </row>
    <row r="5" customFormat="false" ht="14.25" hidden="false" customHeight="true" outlineLevel="0" collapsed="false">
      <c r="A5" s="21" t="s">
        <v>243</v>
      </c>
      <c r="B5" s="3" t="s">
        <v>244</v>
      </c>
    </row>
    <row r="6" customFormat="false" ht="14.25" hidden="false" customHeight="true" outlineLevel="0" collapsed="false">
      <c r="A6" s="7"/>
      <c r="B6" s="7"/>
    </row>
    <row r="7" customFormat="false" ht="14.25" hidden="false" customHeight="true" outlineLevel="0" collapsed="false">
      <c r="A7" s="21" t="s">
        <v>245</v>
      </c>
      <c r="B7" s="3" t="n">
        <v>10000</v>
      </c>
    </row>
    <row r="8" customFormat="false" ht="14.25" hidden="false" customHeight="true" outlineLevel="0" collapsed="false">
      <c r="A8" s="7"/>
      <c r="B8" s="7"/>
    </row>
    <row r="9" customFormat="false" ht="14.25" hidden="false" customHeight="true" outlineLevel="0" collapsed="false">
      <c r="A9" s="21" t="s">
        <v>246</v>
      </c>
      <c r="B9" s="3" t="n">
        <v>250</v>
      </c>
    </row>
    <row r="10" customFormat="false" ht="14.25" hidden="false" customHeight="true" outlineLevel="0" collapsed="false">
      <c r="A10" s="7"/>
      <c r="B10" s="7"/>
    </row>
    <row r="11" customFormat="false" ht="14.25" hidden="false" customHeight="true" outlineLevel="0" collapsed="false">
      <c r="A11" s="21" t="s">
        <v>247</v>
      </c>
      <c r="B11" s="22" t="n">
        <f aca="false">IF(B7&gt;0,B9/B7,0)</f>
        <v>0.025</v>
      </c>
    </row>
    <row r="12" customFormat="false" ht="14.25" hidden="false" customHeight="true" outlineLevel="0" collapsed="false">
      <c r="A12" s="21" t="s">
        <v>248</v>
      </c>
      <c r="B12" s="3" t="n">
        <v>40</v>
      </c>
    </row>
    <row r="13" customFormat="false" ht="75" hidden="false" customHeight="true" outlineLevel="0" collapsed="false">
      <c r="A13" s="1" t="s">
        <v>249</v>
      </c>
      <c r="B13" s="3" t="s">
        <v>250</v>
      </c>
    </row>
    <row r="14" customFormat="false" ht="15" hidden="false" customHeight="false" outlineLevel="0" collapsed="false">
      <c r="A14" s="16" t="s">
        <v>251</v>
      </c>
      <c r="B14" s="4" t="n">
        <v>8</v>
      </c>
    </row>
    <row r="15" customFormat="false" ht="15" hidden="false" customHeight="false" outlineLevel="0" collapsed="false">
      <c r="A15" s="16" t="s">
        <v>252</v>
      </c>
      <c r="B15" s="4" t="n">
        <v>5000</v>
      </c>
    </row>
    <row r="16" customFormat="false" ht="15" hidden="false" customHeight="false" outlineLevel="0" collapsed="false">
      <c r="A16" s="16" t="s">
        <v>253</v>
      </c>
      <c r="B16" s="23" t="n">
        <f aca="false">IF(B14&gt;0,B15/B14,0)</f>
        <v>625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33.44"/>
    <col collapsed="false" customWidth="true" hidden="false" outlineLevel="0" max="2" min="2" style="0" width="84.11"/>
    <col collapsed="false" customWidth="true" hidden="false" outlineLevel="0" max="26" min="3" style="0" width="8.67"/>
  </cols>
  <sheetData>
    <row r="1" customFormat="false" ht="14.25" hidden="false" customHeight="true" outlineLevel="0" collapsed="false">
      <c r="A1" s="24" t="s">
        <v>254</v>
      </c>
      <c r="B1" s="18" t="s">
        <v>255</v>
      </c>
    </row>
    <row r="2" customFormat="false" ht="14.25" hidden="false" customHeight="true" outlineLevel="0" collapsed="false">
      <c r="A2" s="24" t="s">
        <v>256</v>
      </c>
      <c r="B2" s="18" t="s">
        <v>257</v>
      </c>
    </row>
    <row r="3" customFormat="false" ht="14.25" hidden="false" customHeight="true" outlineLevel="0" collapsed="false">
      <c r="A3" s="24" t="s">
        <v>258</v>
      </c>
      <c r="B3" s="18" t="str">
        <f aca="false">P3_PINPOINT!B16</f>
        <v>No one in Tamil Nadu offers a THINK-FIRST AI programme in Tanglish that turns kids into confident thinkers and builders, with visible proof (portfolio + Demo Day) and a gamified community that keeps them coming back.</v>
      </c>
    </row>
    <row r="4" customFormat="false" ht="14.25" hidden="false" customHeight="true" outlineLevel="0" collapsed="false">
      <c r="A4" s="24" t="s">
        <v>259</v>
      </c>
      <c r="B4" s="18" t="str">
        <f aca="false">P4_POSITION!B7</f>
        <v>BrainLIT is the THINK-FIRST AI school for Tamil kids: other courses teach children to use AI — BrainLIT teaches them to out-think it. 'Mudhala Yosi — Think First.'</v>
      </c>
    </row>
    <row r="5" customFormat="false" ht="14.25" hidden="false" customHeight="true" outlineLevel="0" collapsed="false">
      <c r="A5" s="24" t="s">
        <v>260</v>
      </c>
      <c r="B5" s="18" t="str">
        <f aca="false">'P5_PROMISE (USP)'!B10</f>
        <v>I help Tamil-speaking parents of 10–15 year-olds solve the fear that AI will do their child's thinking, to achieve a confident thinker who builds and presents real AI projects, using the Tanglish L.I.T. 'Think First' method (Listen, Interrogate, Think Aloud).</v>
      </c>
    </row>
    <row r="6" customFormat="false" ht="14.25" hidden="false" customHeight="true" outlineLevel="0" collapsed="false">
      <c r="A6" s="24" t="s">
        <v>261</v>
      </c>
      <c r="B6" s="18" t="str">
        <f aca="false">"Cohort 1 portfolios &amp; Demo Day videos · Children's Capstones &amp; debate clips · 2-session refund guarantee · Founder-led small cohorts · Parent WhatsApp after every session (avg proof strength "&amp;TEXT(P6_PROOF!C9,"0.0")&amp;"/5)"</f>
        <v>Cohort 1 portfolios &amp; Demo Day videos · Children's Capstones &amp; debate clips · 2-session refund guarantee · Founder-led small cohorts · Parent WhatsApp after every session (avg proof strength 3.0/5)</v>
      </c>
    </row>
    <row r="7" customFormat="false" ht="14.25" hidden="false" customHeight="true" outlineLevel="0" collapsed="false">
      <c r="A7" s="24" t="s">
        <v>262</v>
      </c>
      <c r="B7" s="18" t="str">
        <f aca="false">"Pending — test planned (targets): "&amp;TEXT(P7_PILOT!B7,"#,##0")&amp;" views, "&amp;TEXT(P7_PILOT!B11,"0.0%")&amp;" click/reply rate, "&amp;P7_PILOT!B14&amp;" enrolments at ₹"&amp;TEXT(P7_PILOT!B16,"#,##0")&amp;" each"</f>
        <v>Pending — test planned (targets): 10,000 views, 2.5% click/reply rate, 8 enrolments at ₹625 each</v>
      </c>
    </row>
    <row r="8" customFormat="false" ht="15" hidden="false" customHeight="false" outlineLevel="0" collapsed="false"/>
    <row r="9" customFormat="false" ht="28.35" hidden="false" customHeight="false" outlineLevel="0" collapsed="false">
      <c r="A9" s="25" t="s">
        <v>263</v>
      </c>
      <c r="B9" s="4" t="s">
        <v>264</v>
      </c>
    </row>
    <row r="10" customFormat="false" ht="60" hidden="false" customHeight="true" outlineLevel="0" collapsed="false">
      <c r="A10" s="25" t="s">
        <v>265</v>
      </c>
      <c r="B10" s="4" t="s">
        <v>266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9" t="s">
        <v>267</v>
      </c>
      <c r="B1" s="19" t="s">
        <v>268</v>
      </c>
    </row>
    <row r="2" customFormat="false" ht="15" hidden="false" customHeight="false" outlineLevel="0" collapsed="false">
      <c r="A2" s="4" t="s">
        <v>269</v>
      </c>
      <c r="B2" s="4" t="s">
        <v>270</v>
      </c>
    </row>
    <row r="3" customFormat="false" ht="28.35" hidden="false" customHeight="false" outlineLevel="0" collapsed="false">
      <c r="A3" s="4" t="s">
        <v>271</v>
      </c>
      <c r="B3" s="4" t="s">
        <v>272</v>
      </c>
    </row>
    <row r="4" customFormat="false" ht="15" hidden="false" customHeight="false" outlineLevel="0" collapsed="false">
      <c r="A4" s="4" t="s">
        <v>273</v>
      </c>
      <c r="B4" s="4" t="s">
        <v>274</v>
      </c>
    </row>
    <row r="5" customFormat="false" ht="41.75" hidden="false" customHeight="false" outlineLevel="0" collapsed="false">
      <c r="A5" s="4" t="s">
        <v>275</v>
      </c>
      <c r="B5" s="4" t="s">
        <v>276</v>
      </c>
    </row>
    <row r="6" customFormat="false" ht="15" hidden="false" customHeight="false" outlineLevel="0" collapsed="false">
      <c r="A6" s="4" t="s">
        <v>277</v>
      </c>
      <c r="B6" s="4" t="s">
        <v>278</v>
      </c>
    </row>
    <row r="7" customFormat="false" ht="28.35" hidden="false" customHeight="false" outlineLevel="0" collapsed="false">
      <c r="A7" s="4" t="s">
        <v>279</v>
      </c>
      <c r="B7" s="4" t="s">
        <v>280</v>
      </c>
    </row>
    <row r="8" customFormat="false" ht="28.35" hidden="false" customHeight="false" outlineLevel="0" collapsed="false">
      <c r="A8" s="4" t="s">
        <v>281</v>
      </c>
      <c r="B8" s="4" t="s">
        <v>282</v>
      </c>
    </row>
    <row r="9" customFormat="false" ht="15" hidden="false" customHeight="false" outlineLevel="0" collapsed="false">
      <c r="A9" s="4" t="s">
        <v>283</v>
      </c>
      <c r="B9" s="4" t="s">
        <v>284</v>
      </c>
    </row>
    <row r="10" customFormat="false" ht="15" hidden="false" customHeight="false" outlineLevel="0" collapsed="false">
      <c r="A10" s="4" t="s">
        <v>285</v>
      </c>
      <c r="B10" s="4" t="s">
        <v>286</v>
      </c>
    </row>
    <row r="11" customFormat="false" ht="15" hidden="false" customHeight="false" outlineLevel="0" collapsed="false">
      <c r="A11" s="4" t="s">
        <v>115</v>
      </c>
      <c r="B11" s="4" t="s">
        <v>287</v>
      </c>
    </row>
    <row r="12" customFormat="false" ht="15" hidden="false" customHeight="false" outlineLevel="0" collapsed="false">
      <c r="A12" s="4" t="s">
        <v>288</v>
      </c>
      <c r="B12" s="4" t="s">
        <v>289</v>
      </c>
    </row>
    <row r="13" customFormat="false" ht="15" hidden="false" customHeight="false" outlineLevel="0" collapsed="false">
      <c r="A13" s="4" t="s">
        <v>290</v>
      </c>
      <c r="B13" s="4" t="s">
        <v>291</v>
      </c>
    </row>
    <row r="14" customFormat="false" ht="15" hidden="false" customHeight="false" outlineLevel="0" collapsed="false">
      <c r="A14" s="4" t="s">
        <v>292</v>
      </c>
      <c r="B14" s="4" t="s">
        <v>293</v>
      </c>
    </row>
    <row r="15" customFormat="false" ht="28.35" hidden="false" customHeight="false" outlineLevel="0" collapsed="false">
      <c r="A15" s="4" t="s">
        <v>294</v>
      </c>
      <c r="B15" s="4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2026-01-27T11:03:49Z</dcterms:created>
  <dc:creator>openpyxl</dc:creator>
  <dc:description/>
  <dc:language>en-US</dc:language>
  <cp:lastModifiedBy>Haja Najmudeen</cp:lastModifiedBy>
  <dcterms:modified xsi:type="dcterms:W3CDTF">2026-09-25T14:20:18Z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